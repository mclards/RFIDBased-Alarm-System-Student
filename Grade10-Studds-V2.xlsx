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_IO\RFIDBased-Alarm-System\"/>
    </mc:Choice>
  </mc:AlternateContent>
  <xr:revisionPtr revIDLastSave="0" documentId="13_ncr:1_{C28E3EB8-D2B5-4BCA-9ECD-7E5C1AE0E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 of Materials (V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G34" i="1"/>
  <c r="G31" i="1"/>
  <c r="G30" i="1"/>
  <c r="G29" i="1"/>
  <c r="G27" i="1"/>
  <c r="G26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  <c r="K11" i="1"/>
  <c r="G11" i="1"/>
  <c r="M10" i="1"/>
  <c r="G10" i="1"/>
  <c r="M9" i="1"/>
  <c r="G9" i="1"/>
  <c r="M8" i="1"/>
  <c r="G8" i="1"/>
  <c r="M7" i="1"/>
  <c r="G7" i="1"/>
  <c r="M6" i="1"/>
  <c r="G6" i="1"/>
  <c r="G33" i="1" s="1"/>
  <c r="G35" i="1" s="1"/>
  <c r="M11" i="1" l="1"/>
  <c r="M13" i="1"/>
</calcChain>
</file>

<file path=xl/sharedStrings.xml><?xml version="1.0" encoding="utf-8"?>
<sst xmlns="http://schemas.openxmlformats.org/spreadsheetml/2006/main" count="94" uniqueCount="90">
  <si>
    <t>Bill of Materials — Sourced from Shopee (Multiple Shops - Updated V2 System)</t>
  </si>
  <si>
    <t>Estimated Labor &amp; Programming Cost (Fixed rate for JHS Students)</t>
  </si>
  <si>
    <t>No.</t>
  </si>
  <si>
    <t>Item</t>
  </si>
  <si>
    <t>Purpose / Specification</t>
  </si>
  <si>
    <t>Qty</t>
  </si>
  <si>
    <t>Est. Unit Price (₱)</t>
  </si>
  <si>
    <t>Subtotal (₱)</t>
  </si>
  <si>
    <t>Task</t>
  </si>
  <si>
    <t>Est. Hours</t>
  </si>
  <si>
    <t>Reference Rate (₱/hr)</t>
  </si>
  <si>
    <t>Est. Cost (₱)</t>
  </si>
  <si>
    <t xml:space="preserve">  1. MAJOR SYSTEM COMPONENTS (V2 ACTIVE PRODUCTION)</t>
  </si>
  <si>
    <t>ESP32 DevKit (30-pin, WROOM-32)</t>
  </si>
  <si>
    <t>Main processor running the multi-core FreeRTOS security system &amp; Web Portal.</t>
  </si>
  <si>
    <t>Circuit design, wiring &amp; power routing</t>
  </si>
  <si>
    <t>UHF RFID Reader Long Range 20M 860-960MHz Anti-Collision Multi-Tag Reading</t>
  </si>
  <si>
    <t>Long-range directional RFID reader (Wiegand 26/34) for student identification at boundary.</t>
  </si>
  <si>
    <t>Programming &amp; FreeRTOS Architecture</t>
  </si>
  <si>
    <t>Waterproof Dual Beam Sensor Active Infrared Intrusion Detector IR Outdoor Wall Fence</t>
  </si>
  <si>
    <t>Active optical infrared beam tripwire for fail-safe perimeter breach detection.</t>
  </si>
  <si>
    <t>Testing, calibration &amp; sensor tuning</t>
  </si>
  <si>
    <t>UHF Card RFID Tracking Alien H3 Chip Long Reading Distance Card</t>
  </si>
  <si>
    <t>Ultra-high frequency (UHF) RFID identification cards assigned to tracked students.</t>
  </si>
  <si>
    <t>Enclosure mounting &amp; installation prep</t>
  </si>
  <si>
    <t>SIM800L GSM Module (with antenna)</t>
  </si>
  <si>
    <t>Sends immediate SMS text alerts with student details to security guards/faculty.</t>
  </si>
  <si>
    <t>Documentation &amp; User Manual creation</t>
  </si>
  <si>
    <t>DFPlayer Mini Amplifier</t>
  </si>
  <si>
    <t>Audio synthesizer for spoken voice warnings and high-output alarm sirens.</t>
  </si>
  <si>
    <t>TOTAL LABOR</t>
  </si>
  <si>
    <t>DS3231 Precision RTC Module (Real-Time Clock)</t>
  </si>
  <si>
    <t>Precision hardware timestamping for event logs, SMS timestamps, and flash records.</t>
  </si>
  <si>
    <t>SDCard Module (for data logs)</t>
  </si>
  <si>
    <t>FAT32 SPI storage module for permanent student databases and security incident logs.</t>
  </si>
  <si>
    <t>OVERALL TOTAL (Materials + Labor)</t>
  </si>
  <si>
    <t>12V/4A Power Supply (Battery Charger)</t>
  </si>
  <si>
    <t>Main DC power supply for the complete system, sensors, and battery charging.</t>
  </si>
  <si>
    <t>DOWN PAYMENT</t>
  </si>
  <si>
    <t>Li-ion Battery 3.7 Vdc Cell (18650)</t>
  </si>
  <si>
    <t>Provides continuous uninterruptible backup power during perimeter power outages.</t>
  </si>
  <si>
    <t>BALANCE</t>
  </si>
  <si>
    <t>Plastic Enclosure Box (weatherproof/ABS, wall-mountable, ~240x160x92mm)</t>
  </si>
  <si>
    <t>Weatherproof ABS enclosure to protect all internal electronics against outdoor weather.</t>
  </si>
  <si>
    <t xml:space="preserve">  2. SUPPORTING HARDWARE, POWER &amp; CIRCUITRY (V2 ACTIVE)</t>
  </si>
  <si>
    <t>3W Enclosed Speaker</t>
  </si>
  <si>
    <t>Compact acoustic speaker for DFPlayer Mini voice playback and alarm tones.</t>
  </si>
  <si>
    <t>📌 V2 HARDWARE MIGRATION SUMMARY &amp; UPGRADE HIGHLIGHTS</t>
  </si>
  <si>
    <t>LM2596 Buck Converter (DC-DC step down)</t>
  </si>
  <si>
    <t>Safely steps down 12V/5V DC voltage for the GSM module and peripherals.</t>
  </si>
  <si>
    <t>Legacy V1 Component</t>
  </si>
  <si>
    <t>➔</t>
  </si>
  <si>
    <t>Active V2 Component</t>
  </si>
  <si>
    <t>Key Technical Advantage</t>
  </si>
  <si>
    <t>Battery Holder 1x4 (18650)</t>
  </si>
  <si>
    <t>Securely holds and connects the 4x backup lithium-ion cells.</t>
  </si>
  <si>
    <t>MFRC522 HF (13.56 MHz)</t>
  </si>
  <si>
    <t>RD906M Long-Range UHF</t>
  </si>
  <si>
    <t>Detection distance expanded from 3 cm tap to 1–6 meters hands-free crossing.</t>
  </si>
  <si>
    <t>RTC Coin-battery CR2032</t>
  </si>
  <si>
    <t>Retains RTC system date and time permanently during complete power loss.</t>
  </si>
  <si>
    <t>Keychain RFID Tags</t>
  </si>
  <si>
    <t>Alien H3 UHF RFID Cards</t>
  </si>
  <si>
    <t>Directional ultra-high frequency anti-collision multi-tag simultaneous reading.</t>
  </si>
  <si>
    <t>Micro SD Cards</t>
  </si>
  <si>
    <t>FAT32 high-speed data storage cards for event logging and backups.</t>
  </si>
  <si>
    <t>HC-SR04 Ultrasonic</t>
  </si>
  <si>
    <t>Active Dual-Beam IR Tripwire</t>
  </si>
  <si>
    <t>Fail-safe outdoor optical beam break, impervious to weather and sunlight noise.</t>
  </si>
  <si>
    <t>Mounting screws/brackets (for enclosure-to-wall)</t>
  </si>
  <si>
    <t>Secures internal circuit boards and attaches enclosure to perimeter wall.</t>
  </si>
  <si>
    <t>FR4 Universal Protoboard PCB</t>
  </si>
  <si>
    <t>Permanent base board for soldering all module headers and interconnects.</t>
  </si>
  <si>
    <t>Red LED 5mm (pack of 5–10)</t>
  </si>
  <si>
    <t>Flashes visually on enclosure front panel to indicate an active alarm breach.</t>
  </si>
  <si>
    <t>Resistor kit (assorted, incl. 220Ω, 1kΩ, 10kΩ)</t>
  </si>
  <si>
    <t>Protects LEDs, pulls up I2C lines, and lowers sensor logic levels.</t>
  </si>
  <si>
    <t>Jumper Wire Set (M-M/M-F/F-F, 120pcs)</t>
  </si>
  <si>
    <t>Interconnects all electronic modules, sensors, and the ESP32.</t>
  </si>
  <si>
    <t xml:space="preserve">  3. REPLACED / DEPRECATED MATERIALS (V1 LEGACY — MIGRATED TO V2)</t>
  </si>
  <si>
    <t>[REPLACED] MFRC522 RFID Reader Module + Tag + Card</t>
  </si>
  <si>
    <t>[V1 Legacy - Replaced] Short-range 13.56MHz RFID reader → Migrated to Long-Range UHF Reader (RD906M).</t>
  </si>
  <si>
    <t>[REPLACED] Extra RFID Tags (per student, keychain type)</t>
  </si>
  <si>
    <t>[V1 Legacy - Replaced] 13.56MHz Mifare keychain tags → Migrated to Long-Range UHF Alien H3 Cards.</t>
  </si>
  <si>
    <t>[REPLACED] HC-SR04 Ultrasonic Sensor</t>
  </si>
  <si>
    <t>[V1 Legacy - Replaced] Ultrasonic distance sensor → Migrated to Waterproof Dual Beam Active IR Sensor.</t>
  </si>
  <si>
    <t>Sub-total Materials Cost</t>
  </si>
  <si>
    <t>Additional Shipping Fees (Multiple shops)</t>
  </si>
  <si>
    <t>TOTAL (Materials + SF Costs)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</si>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</sst>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14" x14ac:knownFonts="1">
    <font>
      <sz val="11"/>
      <color theme="1"/>
      <name val="Calibri"/>
      <family val="2"/>
      <scheme val="minor"/>
    </font>
    <font>
      <b/>
      <sz val="13"/>
      <color rgb="FF1E293B"/>
      <name val="Aptos"/>
      <family val="2"/>
    </font>
    <font>
      <sz val="11"/>
      <color theme="1"/>
      <name val="Aptos"/>
      <family val="2"/>
    </font>
    <font>
      <b/>
      <sz val="11"/>
      <color rgb="FF1E293B"/>
      <name val="Aptos"/>
      <family val="2"/>
    </font>
    <font>
      <b/>
      <sz val="10"/>
      <color rgb="FF1E293B"/>
      <name val="Aptos"/>
      <family val="2"/>
    </font>
    <font>
      <b/>
      <sz val="10"/>
      <color rgb="FF1E40AF"/>
      <name val="Aptos"/>
      <family val="2"/>
    </font>
    <font>
      <sz val="9.5"/>
      <color rgb="FF334155"/>
      <name val="Aptos"/>
      <family val="2"/>
    </font>
    <font>
      <b/>
      <sz val="9.5"/>
      <color rgb="FF1E293B"/>
      <name val="Aptos"/>
      <family val="2"/>
    </font>
    <font>
      <b/>
      <sz val="11"/>
      <color rgb="FF166534"/>
      <name val="Aptos"/>
      <family val="2"/>
    </font>
    <font>
      <b/>
      <sz val="10"/>
      <color rgb="FF166534"/>
      <name val="Aptos"/>
      <family val="2"/>
    </font>
    <font>
      <b/>
      <sz val="10.5"/>
      <color rgb="FF1E293B"/>
      <name val="Aptos"/>
      <family val="2"/>
    </font>
    <font>
      <b/>
      <sz val="9.5"/>
      <color rgb="FF991B1B"/>
      <name val="Aptos"/>
      <family val="2"/>
    </font>
    <font>
      <b/>
      <sz val="10"/>
      <color rgb="FF991B1B"/>
      <name val="Aptos"/>
      <family val="2"/>
    </font>
    <font>
      <sz val="9.5"/>
      <color rgb="FF991B1B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EE2E2"/>
        <bgColor rgb="FFFEE2E2"/>
      </patternFill>
    </fill>
    <fill>
      <patternFill patternType="solid">
        <fgColor rgb="FFFEF2F2"/>
        <bgColor rgb="FFFEF2F2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double">
        <color rgb="FF64748B"/>
      </bottom>
      <diagonal/>
    </border>
    <border>
      <left style="thin">
        <color rgb="FFCBD5E1"/>
      </left>
      <right/>
      <top style="thin">
        <color rgb="FFCBD5E1"/>
      </top>
      <bottom style="double">
        <color rgb="FF64748B"/>
      </bottom>
      <diagonal/>
    </border>
    <border>
      <left/>
      <right style="thin">
        <color rgb="FFCBD5E1"/>
      </right>
      <top style="thin">
        <color rgb="FFCBD5E1"/>
      </top>
      <bottom style="double">
        <color rgb="FF64748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2" fillId="8" borderId="4" xfId="0" applyFont="1" applyFill="1" applyBorder="1"/>
    <xf numFmtId="0" fontId="7" fillId="8" borderId="4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center" vertical="center"/>
    </xf>
    <xf numFmtId="164" fontId="7" fillId="8" borderId="4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7" fillId="0" borderId="4" xfId="0" applyNumberFormat="1" applyFont="1" applyBorder="1" applyAlignment="1">
      <alignment horizontal="right" vertical="center"/>
    </xf>
    <xf numFmtId="0" fontId="2" fillId="9" borderId="6" xfId="0" applyFont="1" applyFill="1" applyBorder="1"/>
    <xf numFmtId="0" fontId="8" fillId="9" borderId="7" xfId="0" applyFont="1" applyFill="1" applyBorder="1" applyAlignment="1">
      <alignment horizontal="left" vertical="center"/>
    </xf>
    <xf numFmtId="164" fontId="8" fillId="9" borderId="8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/>
    </xf>
    <xf numFmtId="0" fontId="2" fillId="4" borderId="2" xfId="0" applyFont="1" applyFill="1" applyBorder="1"/>
    <xf numFmtId="0" fontId="10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1" fillId="6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2" fillId="5" borderId="2" xfId="0" applyFont="1" applyFill="1" applyBorder="1"/>
    <xf numFmtId="0" fontId="11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center" vertical="center"/>
    </xf>
    <xf numFmtId="164" fontId="13" fillId="6" borderId="3" xfId="0" applyNumberFormat="1" applyFont="1" applyFill="1" applyBorder="1" applyAlignment="1">
      <alignment horizontal="right" vertical="center"/>
    </xf>
    <xf numFmtId="164" fontId="11" fillId="6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2" fillId="7" borderId="6" xfId="0" applyFont="1" applyFill="1" applyBorder="1"/>
    <xf numFmtId="0" fontId="3" fillId="7" borderId="6" xfId="0" applyFont="1" applyFill="1" applyBorder="1" applyAlignment="1">
      <alignment horizontal="left" vertical="center"/>
    </xf>
    <xf numFmtId="164" fontId="3" fillId="7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5"/>
  <sheetViews>
    <sheetView tabSelected="1" topLeftCell="A19" workbookViewId="0">
      <selection activeCell="K33" sqref="K33"/>
    </sheetView>
  </sheetViews>
  <sheetFormatPr defaultRowHeight="15" x14ac:dyDescent="0.25"/>
  <cols>
    <col min="1" max="1" width="3" style="2" customWidth="1"/>
    <col min="2" max="2" width="5.42578125" style="2" customWidth="1"/>
    <col min="3" max="3" width="54.28515625" style="2" customWidth="1"/>
    <col min="4" max="4" width="96.42578125" style="2" customWidth="1"/>
    <col min="5" max="5" width="8.42578125" style="2" customWidth="1"/>
    <col min="6" max="6" width="18" style="2" customWidth="1"/>
    <col min="7" max="7" width="16" style="2" customWidth="1"/>
    <col min="8" max="8" width="4" style="2" customWidth="1"/>
    <col min="9" max="9" width="5.42578125" style="2" customWidth="1"/>
    <col min="10" max="10" width="38" style="2" customWidth="1"/>
    <col min="11" max="11" width="11" style="2" customWidth="1"/>
    <col min="12" max="12" width="26.42578125" style="2" customWidth="1"/>
    <col min="13" max="13" width="26.28515625" style="2" customWidth="1"/>
    <col min="14" max="16384" width="9.140625" style="2"/>
  </cols>
  <sheetData>
    <row r="2" spans="2:13" ht="24" customHeight="1" x14ac:dyDescent="0.25">
      <c r="B2" s="1" t="s">
        <v>0</v>
      </c>
      <c r="I2" s="3" t="s">
        <v>1</v>
      </c>
    </row>
    <row r="4" spans="2:13" ht="26.1" customHeight="1" x14ac:dyDescent="0.25">
      <c r="B4" s="4" t="s">
        <v>2</v>
      </c>
      <c r="C4" s="5" t="s">
        <v>3</v>
      </c>
      <c r="D4" s="5" t="s">
        <v>4</v>
      </c>
      <c r="E4" s="4" t="s">
        <v>5</v>
      </c>
      <c r="F4" s="6" t="s">
        <v>6</v>
      </c>
      <c r="G4" s="6" t="s">
        <v>7</v>
      </c>
      <c r="I4" s="4" t="s">
        <v>2</v>
      </c>
      <c r="J4" s="5" t="s">
        <v>8</v>
      </c>
      <c r="K4" s="4" t="s">
        <v>9</v>
      </c>
      <c r="L4" s="6" t="s">
        <v>10</v>
      </c>
      <c r="M4" s="6" t="s">
        <v>11</v>
      </c>
    </row>
    <row r="5" spans="2:13" ht="21" customHeight="1" x14ac:dyDescent="0.25">
      <c r="B5" s="7" t="s">
        <v>12</v>
      </c>
      <c r="C5" s="8"/>
      <c r="D5" s="8"/>
      <c r="E5" s="8"/>
      <c r="F5" s="8"/>
      <c r="G5" s="8"/>
    </row>
    <row r="6" spans="2:13" x14ac:dyDescent="0.25">
      <c r="B6" s="9">
        <v>1</v>
      </c>
      <c r="C6" s="10" t="s">
        <v>13</v>
      </c>
      <c r="D6" s="11" t="s">
        <v>14</v>
      </c>
      <c r="E6" s="9">
        <v>1</v>
      </c>
      <c r="F6" s="12">
        <v>390</v>
      </c>
      <c r="G6" s="12">
        <f t="shared" ref="G6:G16" si="0">F6*E6</f>
        <v>390</v>
      </c>
      <c r="I6" s="9">
        <v>1</v>
      </c>
      <c r="J6" s="13" t="s">
        <v>15</v>
      </c>
      <c r="K6" s="9">
        <v>12</v>
      </c>
      <c r="L6" s="12">
        <v>250</v>
      </c>
      <c r="M6" s="12">
        <f>L6*K6</f>
        <v>3000</v>
      </c>
    </row>
    <row r="7" spans="2:13" ht="33.75" customHeight="1" x14ac:dyDescent="0.25">
      <c r="B7" s="9">
        <v>2</v>
      </c>
      <c r="C7" s="10" t="s">
        <v>16</v>
      </c>
      <c r="D7" s="11" t="s">
        <v>17</v>
      </c>
      <c r="E7" s="9">
        <v>1</v>
      </c>
      <c r="F7" s="12">
        <v>12630</v>
      </c>
      <c r="G7" s="12">
        <f t="shared" si="0"/>
        <v>12630</v>
      </c>
      <c r="I7" s="9">
        <v>2</v>
      </c>
      <c r="J7" s="13" t="s">
        <v>18</v>
      </c>
      <c r="K7" s="9">
        <v>12</v>
      </c>
      <c r="L7" s="12">
        <v>250</v>
      </c>
      <c r="M7" s="12">
        <f>L7*K7</f>
        <v>3000</v>
      </c>
    </row>
    <row r="8" spans="2:13" ht="31.5" customHeight="1" x14ac:dyDescent="0.25">
      <c r="B8" s="9">
        <v>3</v>
      </c>
      <c r="C8" s="10" t="s">
        <v>19</v>
      </c>
      <c r="D8" s="11" t="s">
        <v>20</v>
      </c>
      <c r="E8" s="9">
        <v>1</v>
      </c>
      <c r="F8" s="12">
        <v>1430</v>
      </c>
      <c r="G8" s="12">
        <f t="shared" si="0"/>
        <v>1430</v>
      </c>
      <c r="I8" s="9">
        <v>3</v>
      </c>
      <c r="J8" s="13" t="s">
        <v>21</v>
      </c>
      <c r="K8" s="9">
        <v>4</v>
      </c>
      <c r="L8" s="12">
        <v>250</v>
      </c>
      <c r="M8" s="12">
        <f>L8*K8</f>
        <v>1000</v>
      </c>
    </row>
    <row r="9" spans="2:13" ht="30.75" customHeight="1" x14ac:dyDescent="0.25">
      <c r="B9" s="9">
        <v>4</v>
      </c>
      <c r="C9" s="10" t="s">
        <v>22</v>
      </c>
      <c r="D9" s="11" t="s">
        <v>23</v>
      </c>
      <c r="E9" s="9">
        <v>10</v>
      </c>
      <c r="F9" s="12">
        <v>120</v>
      </c>
      <c r="G9" s="12">
        <f t="shared" si="0"/>
        <v>1200</v>
      </c>
      <c r="I9" s="9">
        <v>4</v>
      </c>
      <c r="J9" s="13" t="s">
        <v>24</v>
      </c>
      <c r="K9" s="9">
        <v>8</v>
      </c>
      <c r="L9" s="12">
        <v>250</v>
      </c>
      <c r="M9" s="12">
        <f>L9*K9</f>
        <v>2000</v>
      </c>
    </row>
    <row r="10" spans="2:13" x14ac:dyDescent="0.25">
      <c r="B10" s="9">
        <v>5</v>
      </c>
      <c r="C10" s="10" t="s">
        <v>25</v>
      </c>
      <c r="D10" s="11" t="s">
        <v>26</v>
      </c>
      <c r="E10" s="9">
        <v>1</v>
      </c>
      <c r="F10" s="12">
        <v>390</v>
      </c>
      <c r="G10" s="12">
        <f t="shared" si="0"/>
        <v>390</v>
      </c>
      <c r="I10" s="9">
        <v>5</v>
      </c>
      <c r="J10" s="13" t="s">
        <v>27</v>
      </c>
      <c r="K10" s="9">
        <v>4</v>
      </c>
      <c r="L10" s="12">
        <v>250</v>
      </c>
      <c r="M10" s="12">
        <f>L10*K10</f>
        <v>1000</v>
      </c>
    </row>
    <row r="11" spans="2:13" x14ac:dyDescent="0.25">
      <c r="B11" s="9">
        <v>6</v>
      </c>
      <c r="C11" s="11" t="s">
        <v>28</v>
      </c>
      <c r="D11" s="11" t="s">
        <v>29</v>
      </c>
      <c r="E11" s="9">
        <v>1</v>
      </c>
      <c r="F11" s="12">
        <v>300</v>
      </c>
      <c r="G11" s="12">
        <f t="shared" si="0"/>
        <v>300</v>
      </c>
      <c r="I11" s="14"/>
      <c r="J11" s="15" t="s">
        <v>30</v>
      </c>
      <c r="K11" s="16">
        <f>SUM(K6:K10)</f>
        <v>40</v>
      </c>
      <c r="L11" s="14"/>
      <c r="M11" s="17">
        <f>SUM(M6:M10)</f>
        <v>10000</v>
      </c>
    </row>
    <row r="12" spans="2:13" x14ac:dyDescent="0.25">
      <c r="B12" s="9">
        <v>7</v>
      </c>
      <c r="C12" s="11" t="s">
        <v>31</v>
      </c>
      <c r="D12" s="11" t="s">
        <v>32</v>
      </c>
      <c r="E12" s="9">
        <v>1</v>
      </c>
      <c r="F12" s="12">
        <v>165</v>
      </c>
      <c r="G12" s="12">
        <f t="shared" si="0"/>
        <v>165</v>
      </c>
    </row>
    <row r="13" spans="2:13" x14ac:dyDescent="0.25">
      <c r="B13" s="9">
        <v>8</v>
      </c>
      <c r="C13" s="11" t="s">
        <v>33</v>
      </c>
      <c r="D13" s="11" t="s">
        <v>34</v>
      </c>
      <c r="E13" s="9">
        <v>1</v>
      </c>
      <c r="F13" s="12">
        <v>75</v>
      </c>
      <c r="G13" s="12">
        <f t="shared" si="0"/>
        <v>75</v>
      </c>
      <c r="J13" s="18" t="s">
        <v>35</v>
      </c>
      <c r="M13" s="19">
        <f>SUM(G35,M11)</f>
        <v>30760</v>
      </c>
    </row>
    <row r="14" spans="2:13" x14ac:dyDescent="0.25">
      <c r="B14" s="9">
        <v>9</v>
      </c>
      <c r="C14" s="11" t="s">
        <v>36</v>
      </c>
      <c r="D14" s="11" t="s">
        <v>37</v>
      </c>
      <c r="E14" s="9">
        <v>1</v>
      </c>
      <c r="F14" s="12">
        <v>840</v>
      </c>
      <c r="G14" s="12">
        <f t="shared" si="0"/>
        <v>840</v>
      </c>
      <c r="J14" s="18" t="s">
        <v>38</v>
      </c>
      <c r="M14" s="19">
        <f>4500+8000+18500</f>
        <v>31000</v>
      </c>
    </row>
    <row r="15" spans="2:13" x14ac:dyDescent="0.25">
      <c r="B15" s="9">
        <v>10</v>
      </c>
      <c r="C15" s="11" t="s">
        <v>39</v>
      </c>
      <c r="D15" s="11" t="s">
        <v>40</v>
      </c>
      <c r="E15" s="9">
        <v>4</v>
      </c>
      <c r="F15" s="12">
        <v>110</v>
      </c>
      <c r="G15" s="12">
        <f t="shared" si="0"/>
        <v>440</v>
      </c>
      <c r="I15" s="20"/>
      <c r="J15" s="21" t="s">
        <v>41</v>
      </c>
      <c r="K15" s="20"/>
      <c r="L15" s="20"/>
      <c r="M15" s="22" t="s">
        <v>89</v>
      </c>
    </row>
    <row r="16" spans="2:13" ht="27" x14ac:dyDescent="0.25">
      <c r="B16" s="9">
        <v>11</v>
      </c>
      <c r="C16" s="11" t="s">
        <v>42</v>
      </c>
      <c r="D16" s="11" t="s">
        <v>43</v>
      </c>
      <c r="E16" s="9">
        <v>1</v>
      </c>
      <c r="F16" s="12">
        <v>380</v>
      </c>
      <c r="G16" s="12">
        <f t="shared" si="0"/>
        <v>380</v>
      </c>
    </row>
    <row r="17" spans="2:13" ht="21" customHeight="1" x14ac:dyDescent="0.25">
      <c r="B17" s="23" t="s">
        <v>44</v>
      </c>
      <c r="C17" s="24"/>
      <c r="D17" s="24"/>
      <c r="E17" s="24"/>
      <c r="F17" s="24"/>
      <c r="G17" s="24"/>
    </row>
    <row r="18" spans="2:13" ht="20.100000000000001" customHeight="1" x14ac:dyDescent="0.25">
      <c r="B18" s="9">
        <v>12</v>
      </c>
      <c r="C18" s="13" t="s">
        <v>45</v>
      </c>
      <c r="D18" s="11" t="s">
        <v>46</v>
      </c>
      <c r="E18" s="9">
        <v>1</v>
      </c>
      <c r="F18" s="12">
        <v>150</v>
      </c>
      <c r="G18" s="12">
        <f t="shared" ref="G18:G27" si="1">F18*E18</f>
        <v>150</v>
      </c>
      <c r="I18" s="25" t="s">
        <v>47</v>
      </c>
    </row>
    <row r="19" spans="2:13" ht="21.95" customHeight="1" thickBot="1" x14ac:dyDescent="0.3">
      <c r="B19" s="9">
        <v>13</v>
      </c>
      <c r="C19" s="13" t="s">
        <v>48</v>
      </c>
      <c r="D19" s="11" t="s">
        <v>49</v>
      </c>
      <c r="E19" s="9">
        <v>2</v>
      </c>
      <c r="F19" s="12">
        <v>65</v>
      </c>
      <c r="G19" s="12">
        <f t="shared" si="1"/>
        <v>130</v>
      </c>
      <c r="I19" s="26" t="s">
        <v>50</v>
      </c>
      <c r="J19" s="27"/>
      <c r="K19" s="4" t="s">
        <v>51</v>
      </c>
      <c r="L19" s="5" t="s">
        <v>52</v>
      </c>
      <c r="M19" s="5" t="s">
        <v>53</v>
      </c>
    </row>
    <row r="20" spans="2:13" ht="41.25" thickTop="1" x14ac:dyDescent="0.25">
      <c r="B20" s="9">
        <v>14</v>
      </c>
      <c r="C20" s="13" t="s">
        <v>54</v>
      </c>
      <c r="D20" s="11" t="s">
        <v>55</v>
      </c>
      <c r="E20" s="9">
        <v>1</v>
      </c>
      <c r="F20" s="12">
        <v>90</v>
      </c>
      <c r="G20" s="12">
        <f t="shared" si="1"/>
        <v>90</v>
      </c>
      <c r="I20" s="28" t="s">
        <v>56</v>
      </c>
      <c r="J20" s="29"/>
      <c r="K20" s="30" t="s">
        <v>51</v>
      </c>
      <c r="L20" s="31" t="s">
        <v>57</v>
      </c>
      <c r="M20" s="11" t="s">
        <v>58</v>
      </c>
    </row>
    <row r="21" spans="2:13" ht="40.5" x14ac:dyDescent="0.25">
      <c r="B21" s="9">
        <v>15</v>
      </c>
      <c r="C21" s="13" t="s">
        <v>59</v>
      </c>
      <c r="D21" s="11" t="s">
        <v>60</v>
      </c>
      <c r="E21" s="9">
        <v>1</v>
      </c>
      <c r="F21" s="12">
        <v>50</v>
      </c>
      <c r="G21" s="12">
        <f t="shared" si="1"/>
        <v>50</v>
      </c>
      <c r="I21" s="28" t="s">
        <v>61</v>
      </c>
      <c r="J21" s="29"/>
      <c r="K21" s="30" t="s">
        <v>51</v>
      </c>
      <c r="L21" s="31" t="s">
        <v>62</v>
      </c>
      <c r="M21" s="11" t="s">
        <v>63</v>
      </c>
    </row>
    <row r="22" spans="2:13" ht="40.5" x14ac:dyDescent="0.25">
      <c r="B22" s="9">
        <v>16</v>
      </c>
      <c r="C22" s="13" t="s">
        <v>64</v>
      </c>
      <c r="D22" s="11" t="s">
        <v>65</v>
      </c>
      <c r="E22" s="9">
        <v>2</v>
      </c>
      <c r="F22" s="12">
        <v>160</v>
      </c>
      <c r="G22" s="12">
        <f t="shared" si="1"/>
        <v>320</v>
      </c>
      <c r="I22" s="28" t="s">
        <v>66</v>
      </c>
      <c r="J22" s="29"/>
      <c r="K22" s="30" t="s">
        <v>51</v>
      </c>
      <c r="L22" s="31" t="s">
        <v>67</v>
      </c>
      <c r="M22" s="11" t="s">
        <v>68</v>
      </c>
    </row>
    <row r="23" spans="2:13" ht="20.100000000000001" customHeight="1" x14ac:dyDescent="0.25">
      <c r="B23" s="9">
        <v>17</v>
      </c>
      <c r="C23" s="13" t="s">
        <v>69</v>
      </c>
      <c r="D23" s="11" t="s">
        <v>70</v>
      </c>
      <c r="E23" s="9">
        <v>1</v>
      </c>
      <c r="F23" s="12">
        <v>230</v>
      </c>
      <c r="G23" s="12">
        <f t="shared" si="1"/>
        <v>230</v>
      </c>
    </row>
    <row r="24" spans="2:13" ht="20.100000000000001" customHeight="1" x14ac:dyDescent="0.25">
      <c r="B24" s="9">
        <v>18</v>
      </c>
      <c r="C24" s="13" t="s">
        <v>71</v>
      </c>
      <c r="D24" s="11" t="s">
        <v>72</v>
      </c>
      <c r="E24" s="9">
        <v>2</v>
      </c>
      <c r="F24" s="12">
        <v>75</v>
      </c>
      <c r="G24" s="12">
        <f t="shared" si="1"/>
        <v>150</v>
      </c>
    </row>
    <row r="25" spans="2:13" ht="20.100000000000001" customHeight="1" x14ac:dyDescent="0.25">
      <c r="B25" s="9">
        <v>19</v>
      </c>
      <c r="C25" s="13" t="s">
        <v>73</v>
      </c>
      <c r="D25" s="11" t="s">
        <v>74</v>
      </c>
      <c r="E25" s="9">
        <v>1</v>
      </c>
      <c r="F25" s="12">
        <v>20</v>
      </c>
      <c r="G25" s="12">
        <f t="shared" si="1"/>
        <v>20</v>
      </c>
    </row>
    <row r="26" spans="2:13" ht="20.100000000000001" customHeight="1" x14ac:dyDescent="0.25">
      <c r="B26" s="9">
        <v>20</v>
      </c>
      <c r="C26" s="13" t="s">
        <v>75</v>
      </c>
      <c r="D26" s="11" t="s">
        <v>76</v>
      </c>
      <c r="E26" s="9">
        <v>1</v>
      </c>
      <c r="F26" s="12">
        <v>40</v>
      </c>
      <c r="G26" s="12">
        <f t="shared" si="1"/>
        <v>40</v>
      </c>
    </row>
    <row r="27" spans="2:13" ht="20.100000000000001" customHeight="1" x14ac:dyDescent="0.25">
      <c r="B27" s="9">
        <v>21</v>
      </c>
      <c r="C27" s="13" t="s">
        <v>77</v>
      </c>
      <c r="D27" s="11" t="s">
        <v>78</v>
      </c>
      <c r="E27" s="9">
        <v>1</v>
      </c>
      <c r="F27" s="12">
        <v>90</v>
      </c>
      <c r="G27" s="12">
        <f t="shared" si="1"/>
        <v>90</v>
      </c>
    </row>
    <row r="28" spans="2:13" ht="21" customHeight="1" x14ac:dyDescent="0.25">
      <c r="B28" s="32" t="s">
        <v>79</v>
      </c>
      <c r="C28" s="33"/>
      <c r="D28" s="33"/>
      <c r="E28" s="33"/>
      <c r="F28" s="33"/>
      <c r="G28" s="33"/>
    </row>
    <row r="29" spans="2:13" ht="20.100000000000001" customHeight="1" x14ac:dyDescent="0.25">
      <c r="B29" s="34">
        <v>22</v>
      </c>
      <c r="C29" s="35" t="s">
        <v>80</v>
      </c>
      <c r="D29" s="36" t="s">
        <v>81</v>
      </c>
      <c r="E29" s="37">
        <v>1</v>
      </c>
      <c r="F29" s="38">
        <v>130</v>
      </c>
      <c r="G29" s="39">
        <f>F29*E29</f>
        <v>130</v>
      </c>
    </row>
    <row r="30" spans="2:13" ht="20.100000000000001" customHeight="1" x14ac:dyDescent="0.25">
      <c r="B30" s="34">
        <v>23</v>
      </c>
      <c r="C30" s="35" t="s">
        <v>82</v>
      </c>
      <c r="D30" s="36" t="s">
        <v>83</v>
      </c>
      <c r="E30" s="37">
        <v>10</v>
      </c>
      <c r="F30" s="38">
        <v>20</v>
      </c>
      <c r="G30" s="39">
        <f>F30*E30</f>
        <v>200</v>
      </c>
    </row>
    <row r="31" spans="2:13" ht="20.100000000000001" customHeight="1" x14ac:dyDescent="0.25">
      <c r="B31" s="34">
        <v>24</v>
      </c>
      <c r="C31" s="35" t="s">
        <v>84</v>
      </c>
      <c r="D31" s="36" t="s">
        <v>85</v>
      </c>
      <c r="E31" s="37">
        <v>2</v>
      </c>
      <c r="F31" s="38">
        <v>100</v>
      </c>
      <c r="G31" s="39">
        <f>F31*E31</f>
        <v>200</v>
      </c>
    </row>
    <row r="33" spans="2:7" ht="21.95" customHeight="1" x14ac:dyDescent="0.25">
      <c r="C33" s="18" t="s">
        <v>86</v>
      </c>
      <c r="G33" s="19">
        <f>SUM(G6:G16,G18:G27,G29:G31)</f>
        <v>20040</v>
      </c>
    </row>
    <row r="34" spans="2:7" ht="21.95" customHeight="1" x14ac:dyDescent="0.25">
      <c r="C34" s="18" t="s">
        <v>87</v>
      </c>
      <c r="E34" s="40">
        <v>4</v>
      </c>
      <c r="F34" s="41">
        <v>180</v>
      </c>
      <c r="G34" s="42">
        <f>F34*E34</f>
        <v>720</v>
      </c>
    </row>
    <row r="35" spans="2:7" ht="24" customHeight="1" x14ac:dyDescent="0.25">
      <c r="B35" s="43"/>
      <c r="C35" s="44" t="s">
        <v>88</v>
      </c>
      <c r="D35" s="43"/>
      <c r="E35" s="43"/>
      <c r="F35" s="43"/>
      <c r="G35" s="45">
        <f>SUM(G33:G34)</f>
        <v>20760</v>
      </c>
    </row>
  </sheetData>
  <mergeCells count="7">
    <mergeCell ref="I21:J21"/>
    <mergeCell ref="B28:G28"/>
    <mergeCell ref="I20:J20"/>
    <mergeCell ref="B5:G5"/>
    <mergeCell ref="B17:G17"/>
    <mergeCell ref="I19:J19"/>
    <mergeCell ref="I22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 (V2)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CLARIDEN D. MONTANO</cp:lastModifiedBy>
  <dcterms:created xsi:type="dcterms:W3CDTF">2026-08-18T06:18:52Z</dcterms:created>
  <dcterms:modified xsi:type="dcterms:W3CDTF">2026-08-18T06:23:43Z</dcterms:modified>
</cp:coreProperties>
</file>