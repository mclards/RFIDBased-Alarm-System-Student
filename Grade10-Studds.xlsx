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 (V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3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1E293B"/>
      <sz val="11"/>
    </font>
    <font>
      <name val="Segoe UI"/>
      <b val="1"/>
      <color rgb="001E293B"/>
      <sz val="10"/>
    </font>
    <font>
      <name val="Segoe UI"/>
      <b val="1"/>
      <color rgb="001E40AF"/>
      <sz val="10"/>
    </font>
    <font>
      <name val="Segoe UI"/>
      <color rgb="00334155"/>
      <sz val="9.5"/>
    </font>
    <font>
      <name val="Segoe UI"/>
      <b val="1"/>
      <color rgb="001E293B"/>
      <sz val="9.5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91B1B"/>
      <sz val="9.5"/>
    </font>
    <font>
      <name val="Segoe UI"/>
      <color rgb="00991B1B"/>
      <sz val="9.5"/>
    </font>
    <font>
      <name val="Segoe UI"/>
      <b val="1"/>
      <color rgb="00166534"/>
      <sz val="11"/>
    </font>
    <font>
      <name val="Segoe UI"/>
      <b val="1"/>
      <color rgb="001E293B"/>
      <sz val="10.5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E2E2"/>
        <bgColor rgb="00FEE2E2"/>
      </patternFill>
    </fill>
    <fill>
      <patternFill patternType="solid">
        <fgColor rgb="00FEF2F2"/>
        <bgColor rgb="00FEF2F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64748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top style="thin">
        <color rgb="00CBD5E1"/>
      </top>
      <bottom style="double">
        <color rgb="0064748B"/>
      </bottom>
    </border>
    <border>
      <left style="thin">
        <color rgb="00CBD5E1"/>
      </left>
      <top style="thin">
        <color rgb="00CBD5E1"/>
      </top>
      <bottom style="double">
        <color rgb="0064748B"/>
      </bottom>
    </border>
    <border>
      <right style="thin">
        <color rgb="00CBD5E1"/>
      </right>
      <top style="thin">
        <color rgb="00CBD5E1"/>
      </top>
      <bottom style="double">
        <color rgb="0064748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0" fillId="8" borderId="4" pivotButton="0" quotePrefix="0" xfId="0"/>
    <xf numFmtId="0" fontId="6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center" vertical="center"/>
    </xf>
    <xf numFmtId="164" fontId="6" fillId="8" borderId="4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4" applyAlignment="1" pivotButton="0" quotePrefix="0" xfId="0">
      <alignment horizontal="right" vertical="center"/>
    </xf>
    <xf numFmtId="0" fontId="0" fillId="9" borderId="6" pivotButton="0" quotePrefix="0" xfId="0"/>
    <xf numFmtId="0" fontId="11" fillId="9" borderId="7" applyAlignment="1" pivotButton="0" quotePrefix="0" xfId="0">
      <alignment horizontal="left" vertical="center"/>
    </xf>
    <xf numFmtId="164" fontId="11" fillId="9" borderId="8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9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9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/>
    </xf>
    <xf numFmtId="164" fontId="10" fillId="6" borderId="3" applyAlignment="1" pivotButton="0" quotePrefix="0" xfId="0">
      <alignment horizontal="right" vertical="center"/>
    </xf>
    <xf numFmtId="164" fontId="9" fillId="6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right" vertical="center"/>
    </xf>
    <xf numFmtId="164" fontId="6" fillId="0" borderId="5" applyAlignment="1" pivotButton="0" quotePrefix="0" xfId="0">
      <alignment horizontal="right" vertical="center"/>
    </xf>
    <xf numFmtId="0" fontId="0" fillId="7" borderId="6" pivotButton="0" quotePrefix="0" xfId="0"/>
    <xf numFmtId="0" fontId="2" fillId="7" borderId="6" applyAlignment="1" pivotButton="0" quotePrefix="0" xfId="0">
      <alignment horizontal="left" vertical="center"/>
    </xf>
    <xf numFmtId="164" fontId="2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.5" customWidth="1" min="2" max="2"/>
    <col width="42" customWidth="1" min="3" max="3"/>
    <col width="56" customWidth="1" min="4" max="4"/>
    <col width="8.5" customWidth="1" min="5" max="5"/>
    <col width="18" customWidth="1" min="6" max="6"/>
    <col width="16" customWidth="1" min="7" max="7"/>
    <col width="4" customWidth="1" min="8" max="8"/>
    <col width="5.5" customWidth="1" min="9" max="9"/>
    <col width="38" customWidth="1" min="10" max="10"/>
    <col width="11" customWidth="1" min="11" max="11"/>
    <col width="20" customWidth="1" min="12" max="12"/>
    <col width="17" customWidth="1" min="13" max="13"/>
  </cols>
  <sheetData>
    <row r="2" ht="24" customHeight="1">
      <c r="B2" s="1" t="inlineStr">
        <is>
          <t>Bill of Materials — Sourced from Shopee (Multiple Shops - Updated V2 System)</t>
        </is>
      </c>
      <c r="I2" s="2" t="inlineStr">
        <is>
          <t>Estimated Labor &amp; Programming Cost (Fixed rate for JHS Students)</t>
        </is>
      </c>
    </row>
    <row r="4" ht="26" customHeight="1">
      <c r="B4" s="3" t="inlineStr">
        <is>
          <t>No.</t>
        </is>
      </c>
      <c r="C4" s="4" t="inlineStr">
        <is>
          <t>Item</t>
        </is>
      </c>
      <c r="D4" s="4" t="inlineStr">
        <is>
          <t>Purpose / Specification</t>
        </is>
      </c>
      <c r="E4" s="3" t="inlineStr">
        <is>
          <t>Qty</t>
        </is>
      </c>
      <c r="F4" s="5" t="inlineStr">
        <is>
          <t>Est. Unit Price (₱)</t>
        </is>
      </c>
      <c r="G4" s="5" t="inlineStr">
        <is>
          <t>Subtotal (₱)</t>
        </is>
      </c>
      <c r="I4" s="3" t="inlineStr">
        <is>
          <t>No.</t>
        </is>
      </c>
      <c r="J4" s="4" t="inlineStr">
        <is>
          <t>Task</t>
        </is>
      </c>
      <c r="K4" s="3" t="inlineStr">
        <is>
          <t>Est. Hours</t>
        </is>
      </c>
      <c r="L4" s="5" t="inlineStr">
        <is>
          <t>Reference Rate (₱/hr)</t>
        </is>
      </c>
      <c r="M4" s="5" t="inlineStr">
        <is>
          <t>Est. Cost (₱)</t>
        </is>
      </c>
    </row>
    <row r="5" ht="21" customHeight="1">
      <c r="B5" s="6" t="inlineStr">
        <is>
          <t xml:space="preserve">  1. MAJOR SYSTEM COMPONENTS (V2 ACTIVE PRODUCTION)</t>
        </is>
      </c>
      <c r="C5" s="7" t="n"/>
      <c r="D5" s="7" t="n"/>
      <c r="E5" s="7" t="n"/>
      <c r="F5" s="7" t="n"/>
      <c r="G5" s="7" t="n"/>
    </row>
    <row r="6" ht="20" customHeight="1">
      <c r="B6" s="8" t="n">
        <v>1</v>
      </c>
      <c r="C6" s="9" t="inlineStr">
        <is>
          <t>ESP32 DevKit (30-pin, WROOM-32)</t>
        </is>
      </c>
      <c r="D6" s="10" t="inlineStr">
        <is>
          <t>Main processor running the multi-core FreeRTOS security system &amp; Web Portal.</t>
        </is>
      </c>
      <c r="E6" s="8" t="n">
        <v>1</v>
      </c>
      <c r="F6" s="11" t="n">
        <v>390</v>
      </c>
      <c r="G6" s="11">
        <f>F6*E6</f>
        <v/>
      </c>
      <c r="I6" s="8" t="n">
        <v>1</v>
      </c>
      <c r="J6" s="12" t="inlineStr">
        <is>
          <t>Circuit design, wiring &amp; power routing</t>
        </is>
      </c>
      <c r="K6" s="8" t="n">
        <v>12</v>
      </c>
      <c r="L6" s="11" t="n">
        <v>250</v>
      </c>
      <c r="M6" s="11">
        <f>L6*K6</f>
        <v/>
      </c>
    </row>
    <row r="7" ht="20" customHeight="1">
      <c r="B7" s="8" t="n">
        <v>2</v>
      </c>
      <c r="C7" s="9" t="inlineStr">
        <is>
          <t>UHF RFID Reader Long Range 20M 860-960MHz Anti-Collision Multi-Tag Reading</t>
        </is>
      </c>
      <c r="D7" s="10" t="inlineStr">
        <is>
          <t>Long-range directional RFID reader (Wiegand 26/34) for student identification at boundary.</t>
        </is>
      </c>
      <c r="E7" s="8" t="n">
        <v>1</v>
      </c>
      <c r="F7" s="11" t="n">
        <v>12630</v>
      </c>
      <c r="G7" s="11">
        <f>F7*E7</f>
        <v/>
      </c>
      <c r="I7" s="8" t="n">
        <v>2</v>
      </c>
      <c r="J7" s="12" t="inlineStr">
        <is>
          <t>Programming &amp; FreeRTOS Architecture</t>
        </is>
      </c>
      <c r="K7" s="8" t="n">
        <v>12</v>
      </c>
      <c r="L7" s="11" t="n">
        <v>250</v>
      </c>
      <c r="M7" s="11">
        <f>L7*K7</f>
        <v/>
      </c>
    </row>
    <row r="8" ht="20" customHeight="1">
      <c r="B8" s="8" t="n">
        <v>3</v>
      </c>
      <c r="C8" s="9" t="inlineStr">
        <is>
          <t>Waterproof Dual Beam Sensor Active Infrared Intrusion Detector IR Outdoor Wall Fence</t>
        </is>
      </c>
      <c r="D8" s="10" t="inlineStr">
        <is>
          <t>Active optical infrared beam tripwire for fail-safe perimeter breach detection.</t>
        </is>
      </c>
      <c r="E8" s="8" t="n">
        <v>1</v>
      </c>
      <c r="F8" s="11" t="n">
        <v>1430</v>
      </c>
      <c r="G8" s="11">
        <f>F8*E8</f>
        <v/>
      </c>
      <c r="I8" s="8" t="n">
        <v>3</v>
      </c>
      <c r="J8" s="12" t="inlineStr">
        <is>
          <t>Testing, calibration &amp; sensor tuning</t>
        </is>
      </c>
      <c r="K8" s="8" t="n">
        <v>4</v>
      </c>
      <c r="L8" s="11" t="n">
        <v>250</v>
      </c>
      <c r="M8" s="11">
        <f>L8*K8</f>
        <v/>
      </c>
    </row>
    <row r="9" ht="20" customHeight="1">
      <c r="B9" s="8" t="n">
        <v>4</v>
      </c>
      <c r="C9" s="9" t="inlineStr">
        <is>
          <t>UHF Card RFID Tracking Alien H3 Chip Long Reading Distance Card</t>
        </is>
      </c>
      <c r="D9" s="10" t="inlineStr">
        <is>
          <t>Ultra-high frequency (UHF) RFID identification cards assigned to tracked students.</t>
        </is>
      </c>
      <c r="E9" s="8" t="n">
        <v>10</v>
      </c>
      <c r="F9" s="11" t="n">
        <v>120</v>
      </c>
      <c r="G9" s="11">
        <f>F9*E9</f>
        <v/>
      </c>
      <c r="I9" s="8" t="n">
        <v>4</v>
      </c>
      <c r="J9" s="12" t="inlineStr">
        <is>
          <t>Enclosure mounting &amp; installation prep</t>
        </is>
      </c>
      <c r="K9" s="8" t="n">
        <v>8</v>
      </c>
      <c r="L9" s="11" t="n">
        <v>250</v>
      </c>
      <c r="M9" s="11">
        <f>L9*K9</f>
        <v/>
      </c>
    </row>
    <row r="10" ht="20" customHeight="1">
      <c r="B10" s="8" t="n">
        <v>5</v>
      </c>
      <c r="C10" s="9" t="inlineStr">
        <is>
          <t>SIM800L GSM Module (with antenna)</t>
        </is>
      </c>
      <c r="D10" s="10" t="inlineStr">
        <is>
          <t>Sends immediate SMS text alerts with student details to security guards/faculty.</t>
        </is>
      </c>
      <c r="E10" s="8" t="n">
        <v>1</v>
      </c>
      <c r="F10" s="11" t="n">
        <v>390</v>
      </c>
      <c r="G10" s="11">
        <f>F10*E10</f>
        <v/>
      </c>
      <c r="I10" s="8" t="n">
        <v>5</v>
      </c>
      <c r="J10" s="12" t="inlineStr">
        <is>
          <t>Documentation &amp; User Manual creation</t>
        </is>
      </c>
      <c r="K10" s="8" t="n">
        <v>4</v>
      </c>
      <c r="L10" s="11" t="n">
        <v>250</v>
      </c>
      <c r="M10" s="11">
        <f>L10*K10</f>
        <v/>
      </c>
    </row>
    <row r="11" ht="22" customHeight="1">
      <c r="B11" s="8" t="n">
        <v>6</v>
      </c>
      <c r="C11" s="12" t="inlineStr">
        <is>
          <t>DFPlayer Mini Amplifier</t>
        </is>
      </c>
      <c r="D11" s="10" t="inlineStr">
        <is>
          <t>Audio synthesizer for spoken voice warnings and high-output alarm sirens.</t>
        </is>
      </c>
      <c r="E11" s="8" t="n">
        <v>1</v>
      </c>
      <c r="F11" s="11" t="n">
        <v>300</v>
      </c>
      <c r="G11" s="11">
        <f>F11*E11</f>
        <v/>
      </c>
      <c r="I11" s="13" t="n"/>
      <c r="J11" s="14" t="inlineStr">
        <is>
          <t>TOTAL LABOR</t>
        </is>
      </c>
      <c r="K11" s="15">
        <f>SUM(K6:K10)</f>
        <v/>
      </c>
      <c r="L11" s="13" t="n"/>
      <c r="M11" s="16">
        <f>SUM(M6:M10)</f>
        <v/>
      </c>
    </row>
    <row r="12" ht="20" customHeight="1">
      <c r="B12" s="8" t="n">
        <v>7</v>
      </c>
      <c r="C12" s="12" t="inlineStr">
        <is>
          <t>DS3231 Precision RTC Module (Real-Time Clock)</t>
        </is>
      </c>
      <c r="D12" s="10" t="inlineStr">
        <is>
          <t>Precision hardware timestamping for event logs, SMS timestamps, and flash records.</t>
        </is>
      </c>
      <c r="E12" s="8" t="n">
        <v>1</v>
      </c>
      <c r="F12" s="11" t="n">
        <v>165</v>
      </c>
      <c r="G12" s="11">
        <f>F12*E12</f>
        <v/>
      </c>
    </row>
    <row r="13" ht="22" customHeight="1">
      <c r="B13" s="8" t="n">
        <v>8</v>
      </c>
      <c r="C13" s="12" t="inlineStr">
        <is>
          <t>SDCard Module (for data logs)</t>
        </is>
      </c>
      <c r="D13" s="10" t="inlineStr">
        <is>
          <t>FAT32 SPI storage module for permanent student databases and security incident logs.</t>
        </is>
      </c>
      <c r="E13" s="8" t="n">
        <v>1</v>
      </c>
      <c r="F13" s="11" t="n">
        <v>75</v>
      </c>
      <c r="G13" s="11">
        <f>F13*E13</f>
        <v/>
      </c>
      <c r="J13" s="17" t="inlineStr">
        <is>
          <t>OVERALL TOTAL (Materials + Labor)</t>
        </is>
      </c>
      <c r="M13" s="18">
        <f>SUM(G35,M11)</f>
        <v/>
      </c>
    </row>
    <row r="14" ht="22" customHeight="1">
      <c r="B14" s="8" t="n">
        <v>9</v>
      </c>
      <c r="C14" s="12" t="inlineStr">
        <is>
          <t>12V/4A Power Supply (Battery Charger)</t>
        </is>
      </c>
      <c r="D14" s="10" t="inlineStr">
        <is>
          <t>Main DC power supply for the complete system, sensors, and battery charging.</t>
        </is>
      </c>
      <c r="E14" s="8" t="n">
        <v>1</v>
      </c>
      <c r="F14" s="11" t="n">
        <v>840</v>
      </c>
      <c r="G14" s="11">
        <f>F14*E14</f>
        <v/>
      </c>
      <c r="J14" s="17" t="inlineStr">
        <is>
          <t>DOWN PAYMENT</t>
        </is>
      </c>
      <c r="M14" s="18">
        <f>4500+8000</f>
        <v/>
      </c>
    </row>
    <row r="15" ht="24" customHeight="1">
      <c r="B15" s="8" t="n">
        <v>10</v>
      </c>
      <c r="C15" s="12" t="inlineStr">
        <is>
          <t>Li-ion Battery 3.7 Vdc Cell (18650)</t>
        </is>
      </c>
      <c r="D15" s="10" t="inlineStr">
        <is>
          <t>Provides continuous uninterruptible backup power during perimeter power outages.</t>
        </is>
      </c>
      <c r="E15" s="8" t="n">
        <v>4</v>
      </c>
      <c r="F15" s="11" t="n">
        <v>110</v>
      </c>
      <c r="G15" s="11">
        <f>F15*E15</f>
        <v/>
      </c>
      <c r="I15" s="19" t="n"/>
      <c r="J15" s="20" t="inlineStr">
        <is>
          <t>BALANCE</t>
        </is>
      </c>
      <c r="K15" s="19" t="n"/>
      <c r="L15" s="19" t="n"/>
      <c r="M15" s="21">
        <f>M13-M14</f>
        <v/>
      </c>
    </row>
    <row r="16" ht="20" customHeight="1">
      <c r="B16" s="8" t="n">
        <v>11</v>
      </c>
      <c r="C16" s="12" t="inlineStr">
        <is>
          <t>Plastic Enclosure Box (weatherproof/ABS, wall-mountable, ~240x160x92mm)</t>
        </is>
      </c>
      <c r="D16" s="10" t="inlineStr">
        <is>
          <t>Weatherproof ABS enclosure to protect all internal electronics against outdoor weather.</t>
        </is>
      </c>
      <c r="E16" s="8" t="n">
        <v>1</v>
      </c>
      <c r="F16" s="11" t="n">
        <v>380</v>
      </c>
      <c r="G16" s="11">
        <f>F16*E16</f>
        <v/>
      </c>
    </row>
    <row r="17" ht="21" customHeight="1">
      <c r="B17" s="22" t="inlineStr">
        <is>
          <t xml:space="preserve">  2. SUPPORTING HARDWARE, POWER &amp; CIRCUITRY (V2 ACTIVE)</t>
        </is>
      </c>
      <c r="C17" s="23" t="n"/>
      <c r="D17" s="23" t="n"/>
      <c r="E17" s="23" t="n"/>
      <c r="F17" s="23" t="n"/>
      <c r="G17" s="23" t="n"/>
    </row>
    <row r="18" ht="20" customHeight="1">
      <c r="B18" s="8" t="n">
        <v>12</v>
      </c>
      <c r="C18" s="12" t="inlineStr">
        <is>
          <t>3W Enclosed Speaker</t>
        </is>
      </c>
      <c r="D18" s="10" t="inlineStr">
        <is>
          <t>Compact acoustic speaker for DFPlayer Mini voice playback and alarm tones.</t>
        </is>
      </c>
      <c r="E18" s="8" t="n">
        <v>1</v>
      </c>
      <c r="F18" s="11" t="n">
        <v>150</v>
      </c>
      <c r="G18" s="11">
        <f>F18*E18</f>
        <v/>
      </c>
      <c r="I18" s="24" t="inlineStr">
        <is>
          <t>📌 V2 HARDWARE MIGRATION SUMMARY &amp; UPGRADE HIGHLIGHTS</t>
        </is>
      </c>
    </row>
    <row r="19" ht="22" customHeight="1">
      <c r="B19" s="8" t="n">
        <v>13</v>
      </c>
      <c r="C19" s="12" t="inlineStr">
        <is>
          <t>LM2596 Buck Converter (DC-DC step down)</t>
        </is>
      </c>
      <c r="D19" s="10" t="inlineStr">
        <is>
          <t>Safely steps down 12V/5V DC voltage for the GSM module and peripherals.</t>
        </is>
      </c>
      <c r="E19" s="8" t="n">
        <v>2</v>
      </c>
      <c r="F19" s="11" t="n">
        <v>65</v>
      </c>
      <c r="G19" s="11">
        <f>F19*E19</f>
        <v/>
      </c>
      <c r="I19" s="4" t="inlineStr">
        <is>
          <t>Legacy V1 Component</t>
        </is>
      </c>
      <c r="J19" s="25" t="n"/>
      <c r="K19" s="3" t="inlineStr">
        <is>
          <t>➔</t>
        </is>
      </c>
      <c r="L19" s="4" t="inlineStr">
        <is>
          <t>Active V2 Component</t>
        </is>
      </c>
      <c r="M19" s="4" t="inlineStr">
        <is>
          <t>Key Technical Advantage</t>
        </is>
      </c>
    </row>
    <row r="20" ht="28" customHeight="1">
      <c r="B20" s="8" t="n">
        <v>14</v>
      </c>
      <c r="C20" s="12" t="inlineStr">
        <is>
          <t>Battery Holder 1x4 (18650)</t>
        </is>
      </c>
      <c r="D20" s="10" t="inlineStr">
        <is>
          <t>Securely holds and connects the 4x backup lithium-ion cells.</t>
        </is>
      </c>
      <c r="E20" s="8" t="n">
        <v>1</v>
      </c>
      <c r="F20" s="11" t="n">
        <v>90</v>
      </c>
      <c r="G20" s="11">
        <f>F20*E20</f>
        <v/>
      </c>
      <c r="I20" s="26" t="inlineStr">
        <is>
          <t>MFRC522 HF (13.56 MHz)</t>
        </is>
      </c>
      <c r="J20" s="27" t="n"/>
      <c r="K20" s="28" t="inlineStr">
        <is>
          <t>➔</t>
        </is>
      </c>
      <c r="L20" s="9" t="inlineStr">
        <is>
          <t>RD906M Long-Range UHF</t>
        </is>
      </c>
      <c r="M20" s="10" t="inlineStr">
        <is>
          <t>Detection distance expanded from 3 cm tap to 1–6 meters hands-free crossing.</t>
        </is>
      </c>
    </row>
    <row r="21" ht="28" customHeight="1">
      <c r="B21" s="8" t="n">
        <v>15</v>
      </c>
      <c r="C21" s="12" t="inlineStr">
        <is>
          <t>RTC Coin-battery CR2032</t>
        </is>
      </c>
      <c r="D21" s="10" t="inlineStr">
        <is>
          <t>Retains RTC system date and time permanently during complete power loss.</t>
        </is>
      </c>
      <c r="E21" s="8" t="n">
        <v>1</v>
      </c>
      <c r="F21" s="11" t="n">
        <v>50</v>
      </c>
      <c r="G21" s="11">
        <f>F21*E21</f>
        <v/>
      </c>
      <c r="I21" s="26" t="inlineStr">
        <is>
          <t>Keychain RFID Tags</t>
        </is>
      </c>
      <c r="J21" s="27" t="n"/>
      <c r="K21" s="28" t="inlineStr">
        <is>
          <t>➔</t>
        </is>
      </c>
      <c r="L21" s="9" t="inlineStr">
        <is>
          <t>Alien H3 UHF RFID Cards</t>
        </is>
      </c>
      <c r="M21" s="10" t="inlineStr">
        <is>
          <t>Directional ultra-high frequency anti-collision multi-tag simultaneous reading.</t>
        </is>
      </c>
    </row>
    <row r="22" ht="28" customHeight="1">
      <c r="B22" s="8" t="n">
        <v>16</v>
      </c>
      <c r="C22" s="12" t="inlineStr">
        <is>
          <t>Micro SD Cards</t>
        </is>
      </c>
      <c r="D22" s="10" t="inlineStr">
        <is>
          <t>FAT32 high-speed data storage cards for event logging and backups.</t>
        </is>
      </c>
      <c r="E22" s="8" t="n">
        <v>2</v>
      </c>
      <c r="F22" s="11" t="n">
        <v>160</v>
      </c>
      <c r="G22" s="11">
        <f>F22*E22</f>
        <v/>
      </c>
      <c r="I22" s="26" t="inlineStr">
        <is>
          <t>HC-SR04 Ultrasonic</t>
        </is>
      </c>
      <c r="J22" s="27" t="n"/>
      <c r="K22" s="28" t="inlineStr">
        <is>
          <t>➔</t>
        </is>
      </c>
      <c r="L22" s="9" t="inlineStr">
        <is>
          <t>Active Dual-Beam IR Tripwire</t>
        </is>
      </c>
      <c r="M22" s="10" t="inlineStr">
        <is>
          <t>Fail-safe outdoor optical beam break, impervious to weather and sunlight noise.</t>
        </is>
      </c>
    </row>
    <row r="23" ht="20" customHeight="1">
      <c r="B23" s="8" t="n">
        <v>17</v>
      </c>
      <c r="C23" s="12" t="inlineStr">
        <is>
          <t>Mounting screws/brackets (for enclosure-to-wall)</t>
        </is>
      </c>
      <c r="D23" s="10" t="inlineStr">
        <is>
          <t>Secures internal circuit boards and attaches enclosure to perimeter wall.</t>
        </is>
      </c>
      <c r="E23" s="8" t="n">
        <v>1</v>
      </c>
      <c r="F23" s="11" t="n">
        <v>230</v>
      </c>
      <c r="G23" s="11">
        <f>F23*E23</f>
        <v/>
      </c>
    </row>
    <row r="24" ht="20" customHeight="1">
      <c r="B24" s="8" t="n">
        <v>18</v>
      </c>
      <c r="C24" s="12" t="inlineStr">
        <is>
          <t>FR4 Universal Protoboard PCB</t>
        </is>
      </c>
      <c r="D24" s="10" t="inlineStr">
        <is>
          <t>Permanent base board for soldering all module headers and interconnects.</t>
        </is>
      </c>
      <c r="E24" s="8" t="n">
        <v>2</v>
      </c>
      <c r="F24" s="11" t="n">
        <v>75</v>
      </c>
      <c r="G24" s="11">
        <f>F24*E24</f>
        <v/>
      </c>
    </row>
    <row r="25" ht="20" customHeight="1">
      <c r="B25" s="8" t="n">
        <v>19</v>
      </c>
      <c r="C25" s="12" t="inlineStr">
        <is>
          <t>Red LED 5mm (pack of 5–10)</t>
        </is>
      </c>
      <c r="D25" s="10" t="inlineStr">
        <is>
          <t>Flashes visually on enclosure front panel to indicate an active alarm breach.</t>
        </is>
      </c>
      <c r="E25" s="8" t="n">
        <v>1</v>
      </c>
      <c r="F25" s="11" t="n">
        <v>20</v>
      </c>
      <c r="G25" s="11">
        <f>F25*E25</f>
        <v/>
      </c>
    </row>
    <row r="26" ht="20" customHeight="1">
      <c r="B26" s="8" t="n">
        <v>20</v>
      </c>
      <c r="C26" s="12" t="inlineStr">
        <is>
          <t>Resistor kit (assorted, incl. 220Ω, 1kΩ, 10kΩ)</t>
        </is>
      </c>
      <c r="D26" s="10" t="inlineStr">
        <is>
          <t>Protects LEDs, pulls up I2C lines, and lowers sensor logic levels.</t>
        </is>
      </c>
      <c r="E26" s="8" t="n">
        <v>1</v>
      </c>
      <c r="F26" s="11" t="n">
        <v>40</v>
      </c>
      <c r="G26" s="11">
        <f>F26*E26</f>
        <v/>
      </c>
    </row>
    <row r="27" ht="20" customHeight="1">
      <c r="B27" s="8" t="n">
        <v>21</v>
      </c>
      <c r="C27" s="12" t="inlineStr">
        <is>
          <t>Jumper Wire Set (M-M/M-F/F-F, 120pcs)</t>
        </is>
      </c>
      <c r="D27" s="10" t="inlineStr">
        <is>
          <t>Interconnects all electronic modules, sensors, and the ESP32.</t>
        </is>
      </c>
      <c r="E27" s="8" t="n">
        <v>1</v>
      </c>
      <c r="F27" s="11" t="n">
        <v>90</v>
      </c>
      <c r="G27" s="11">
        <f>F27*E27</f>
        <v/>
      </c>
    </row>
    <row r="28" ht="21" customHeight="1">
      <c r="B28" s="29" t="inlineStr">
        <is>
          <t xml:space="preserve">  3. REPLACED / DEPRECATED MATERIALS (V1 LEGACY — MIGRATED TO V2)</t>
        </is>
      </c>
      <c r="C28" s="30" t="n"/>
      <c r="D28" s="30" t="n"/>
      <c r="E28" s="30" t="n"/>
      <c r="F28" s="30" t="n"/>
      <c r="G28" s="30" t="n"/>
    </row>
    <row r="29" ht="20" customHeight="1">
      <c r="B29" s="31" t="n">
        <v>22</v>
      </c>
      <c r="C29" s="32" t="inlineStr">
        <is>
          <t>[REPLACED] MFRC522 RFID Reader Module + Tag + Card</t>
        </is>
      </c>
      <c r="D29" s="33" t="inlineStr">
        <is>
          <t>[V1 Legacy - Replaced] Short-range 13.56MHz RFID reader → Migrated to Long-Range UHF Reader (RD906M).</t>
        </is>
      </c>
      <c r="E29" s="34" t="n">
        <v>1</v>
      </c>
      <c r="F29" s="35" t="n">
        <v>130</v>
      </c>
      <c r="G29" s="36">
        <f>F29*E29</f>
        <v/>
      </c>
    </row>
    <row r="30" ht="20" customHeight="1">
      <c r="B30" s="31" t="n">
        <v>23</v>
      </c>
      <c r="C30" s="32" t="inlineStr">
        <is>
          <t>[REPLACED] Extra RFID Tags (per student, keychain type)</t>
        </is>
      </c>
      <c r="D30" s="33" t="inlineStr">
        <is>
          <t>[V1 Legacy - Replaced] 13.56MHz Mifare keychain tags → Migrated to Long-Range UHF Alien H3 Cards.</t>
        </is>
      </c>
      <c r="E30" s="34" t="n">
        <v>10</v>
      </c>
      <c r="F30" s="35" t="n">
        <v>20</v>
      </c>
      <c r="G30" s="36">
        <f>F30*E30</f>
        <v/>
      </c>
    </row>
    <row r="31" ht="20" customHeight="1">
      <c r="B31" s="31" t="n">
        <v>24</v>
      </c>
      <c r="C31" s="32" t="inlineStr">
        <is>
          <t>[REPLACED] HC-SR04 Ultrasonic Sensor</t>
        </is>
      </c>
      <c r="D31" s="33" t="inlineStr">
        <is>
          <t>[V1 Legacy - Replaced] Ultrasonic distance sensor → Migrated to Waterproof Dual Beam Active IR Sensor.</t>
        </is>
      </c>
      <c r="E31" s="34" t="n">
        <v>2</v>
      </c>
      <c r="F31" s="35" t="n">
        <v>100</v>
      </c>
      <c r="G31" s="36">
        <f>F31*E31</f>
        <v/>
      </c>
    </row>
    <row r="33" ht="22" customHeight="1">
      <c r="C33" s="17" t="inlineStr">
        <is>
          <t>Sub-total Materials Cost</t>
        </is>
      </c>
      <c r="G33" s="18">
        <f>SUM(G6:G16,G18:G27,G29:G31)</f>
        <v/>
      </c>
    </row>
    <row r="34" ht="22" customHeight="1">
      <c r="C34" s="17" t="inlineStr">
        <is>
          <t>Additional Shipping Fees (Multiple shops)</t>
        </is>
      </c>
      <c r="E34" s="37" t="n">
        <v>4</v>
      </c>
      <c r="F34" s="38" t="n">
        <v>180</v>
      </c>
      <c r="G34" s="39">
        <f>F34*E34</f>
        <v/>
      </c>
    </row>
    <row r="35" ht="24" customHeight="1">
      <c r="B35" s="40" t="n"/>
      <c r="C35" s="41" t="inlineStr">
        <is>
          <t>TOTAL (Materials + SF Costs)</t>
        </is>
      </c>
      <c r="D35" s="40" t="n"/>
      <c r="E35" s="40" t="n"/>
      <c r="F35" s="40" t="n"/>
      <c r="G35" s="42">
        <f>SUM(G33:G34)</f>
        <v/>
      </c>
    </row>
  </sheetData>
  <mergeCells count="7">
    <mergeCell ref="I21:J21"/>
    <mergeCell ref="B28:G28"/>
    <mergeCell ref="I20:J20"/>
    <mergeCell ref="B5:G5"/>
    <mergeCell ref="B17:G17"/>
    <mergeCell ref="I19:J19"/>
    <mergeCell ref="I22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2026-08-18T06:18:52Z</dcterms:created>
  <dcterms:modified xmlns:dcterms="http://purl.org/dc/terms/" xmlns:xsi="http://www.w3.org/2001/XMLSchema-instance" xsi:type="dcterms:W3CDTF">2026-08-18T06:18:52Z</dcterms:modified>
</cp:coreProperties>
</file>